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mat\Desktop\Java\グループワーク\最終課題\"/>
    </mc:Choice>
  </mc:AlternateContent>
  <xr:revisionPtr revIDLastSave="0" documentId="13_ncr:1_{084C0890-6158-4490-8D69-724E16B7CC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例ガントチャート" sheetId="1" r:id="rId1"/>
    <sheet name="見積変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L3" i="1"/>
  <c r="I24" i="1"/>
  <c r="J24" i="1" s="1"/>
  <c r="A24" i="1"/>
  <c r="I23" i="1"/>
  <c r="J23" i="1" s="1"/>
  <c r="A23" i="1"/>
  <c r="J22" i="1"/>
  <c r="I22" i="1"/>
  <c r="A22" i="1"/>
  <c r="I21" i="1"/>
  <c r="J21" i="1" s="1"/>
  <c r="A21" i="1"/>
  <c r="I20" i="1"/>
  <c r="J20" i="1" s="1"/>
  <c r="A20" i="1"/>
  <c r="I19" i="1"/>
  <c r="J19" i="1" s="1"/>
  <c r="A19" i="1"/>
  <c r="J18" i="1"/>
  <c r="I18" i="1"/>
  <c r="A18" i="1"/>
  <c r="I17" i="1"/>
  <c r="J17" i="1" s="1"/>
  <c r="A17" i="1"/>
  <c r="I16" i="1"/>
  <c r="J16" i="1" s="1"/>
  <c r="A16" i="1"/>
  <c r="I15" i="1"/>
  <c r="J15" i="1" s="1"/>
  <c r="A15" i="1"/>
  <c r="J14" i="1"/>
  <c r="I14" i="1"/>
  <c r="A14" i="1"/>
  <c r="I13" i="1"/>
  <c r="J13" i="1" s="1"/>
  <c r="A13" i="1"/>
  <c r="I12" i="1"/>
  <c r="J12" i="1" s="1"/>
  <c r="A12" i="1"/>
  <c r="I11" i="1"/>
  <c r="J11" i="1" s="1"/>
  <c r="A11" i="1"/>
  <c r="J10" i="1"/>
  <c r="I10" i="1"/>
  <c r="A10" i="1"/>
  <c r="I9" i="1"/>
  <c r="J9" i="1" s="1"/>
  <c r="A9" i="1"/>
  <c r="I8" i="1"/>
  <c r="J8" i="1" s="1"/>
  <c r="A8" i="1"/>
  <c r="I7" i="1"/>
  <c r="J7" i="1" s="1"/>
  <c r="A7" i="1"/>
  <c r="J6" i="1"/>
  <c r="I6" i="1"/>
  <c r="A6" i="1"/>
  <c r="I5" i="1"/>
  <c r="J5" i="1" s="1"/>
  <c r="A5" i="1"/>
  <c r="I4" i="1"/>
  <c r="J4" i="1" s="1"/>
  <c r="A4" i="1"/>
  <c r="BN3" i="1"/>
  <c r="BM3" i="1"/>
  <c r="BL3" i="1"/>
  <c r="BK3" i="1"/>
  <c r="BJ3" i="1"/>
  <c r="BI3" i="1"/>
  <c r="BH3" i="1"/>
  <c r="BG3" i="1"/>
  <c r="BF3" i="1"/>
  <c r="BE3" i="1"/>
  <c r="BD3" i="1"/>
</calcChain>
</file>

<file path=xl/sharedStrings.xml><?xml version="1.0" encoding="utf-8"?>
<sst xmlns="http://schemas.openxmlformats.org/spreadsheetml/2006/main" count="76" uniqueCount="67">
  <si>
    <t>No.</t>
  </si>
  <si>
    <t>親タスク</t>
  </si>
  <si>
    <t>子タスク</t>
  </si>
  <si>
    <t>備考</t>
  </si>
  <si>
    <t>担当者</t>
  </si>
  <si>
    <t>開始日</t>
  </si>
  <si>
    <t>終了日</t>
  </si>
  <si>
    <t>見積</t>
  </si>
  <si>
    <t>実績</t>
  </si>
  <si>
    <t>進捗</t>
  </si>
  <si>
    <t>月</t>
  </si>
  <si>
    <t>タスク詳細</t>
  </si>
  <si>
    <t>[h]</t>
  </si>
  <si>
    <t>[%]</t>
  </si>
  <si>
    <t>日</t>
  </si>
  <si>
    <t>※自動計算</t>
  </si>
  <si>
    <t>曜日</t>
  </si>
  <si>
    <t>要求仕様書</t>
  </si>
  <si>
    <t>一覧画面</t>
  </si>
  <si>
    <t>A</t>
  </si>
  <si>
    <t>詳細情報画面</t>
  </si>
  <si>
    <t>新規追加画面</t>
  </si>
  <si>
    <t>CSV読み込み</t>
  </si>
  <si>
    <t>B</t>
  </si>
  <si>
    <t>CSV出力</t>
  </si>
  <si>
    <t>追加工数[h]</t>
  </si>
  <si>
    <t>削減工数[h]</t>
  </si>
  <si>
    <t>理由</t>
  </si>
  <si>
    <t>更新日</t>
  </si>
  <si>
    <t>更新者</t>
  </si>
  <si>
    <t>要件仕様書</t>
    <rPh sb="0" eb="2">
      <t>ヨウケン</t>
    </rPh>
    <rPh sb="2" eb="5">
      <t>シヨウショ</t>
    </rPh>
    <phoneticPr fontId="2"/>
  </si>
  <si>
    <t>システム概要</t>
    <rPh sb="4" eb="6">
      <t>ガイヨウ</t>
    </rPh>
    <phoneticPr fontId="2"/>
  </si>
  <si>
    <t>一覧画面</t>
    <rPh sb="0" eb="4">
      <t>イチランガメン</t>
    </rPh>
    <phoneticPr fontId="2"/>
  </si>
  <si>
    <t>詳細情報画面</t>
    <rPh sb="0" eb="4">
      <t>ショウサイジョウホウ</t>
    </rPh>
    <rPh sb="4" eb="6">
      <t>ガメン</t>
    </rPh>
    <phoneticPr fontId="2"/>
  </si>
  <si>
    <t>新規追加画面</t>
    <rPh sb="0" eb="4">
      <t>シンキツイカ</t>
    </rPh>
    <rPh sb="4" eb="6">
      <t>ガメン</t>
    </rPh>
    <phoneticPr fontId="2"/>
  </si>
  <si>
    <t>編集画面</t>
    <rPh sb="0" eb="4">
      <t>ヘンシュウガメン</t>
    </rPh>
    <phoneticPr fontId="2"/>
  </si>
  <si>
    <t>削除機能</t>
    <rPh sb="0" eb="2">
      <t>サクジョ</t>
    </rPh>
    <rPh sb="2" eb="4">
      <t>キノウ</t>
    </rPh>
    <phoneticPr fontId="2"/>
  </si>
  <si>
    <t>CSV読み込み</t>
    <rPh sb="3" eb="4">
      <t>ヨ</t>
    </rPh>
    <rPh sb="5" eb="6">
      <t>コ</t>
    </rPh>
    <phoneticPr fontId="2"/>
  </si>
  <si>
    <t>CSV出力</t>
    <rPh sb="3" eb="5">
      <t>シュツリョク</t>
    </rPh>
    <phoneticPr fontId="2"/>
  </si>
  <si>
    <t>入力チェック</t>
    <rPh sb="0" eb="2">
      <t>ニュウリョク</t>
    </rPh>
    <phoneticPr fontId="2"/>
  </si>
  <si>
    <t>エラー処理</t>
    <rPh sb="3" eb="5">
      <t>ショリ</t>
    </rPh>
    <phoneticPr fontId="2"/>
  </si>
  <si>
    <t>権限制御</t>
    <rPh sb="0" eb="4">
      <t>ケンゲンセイギョ</t>
    </rPh>
    <phoneticPr fontId="2"/>
  </si>
  <si>
    <t>レビュー対応</t>
    <rPh sb="4" eb="6">
      <t>タイオウ</t>
    </rPh>
    <phoneticPr fontId="2"/>
  </si>
  <si>
    <t>エンジニア情報の表示、検索、ソート、削除</t>
    <rPh sb="5" eb="7">
      <t>ジョウホウ</t>
    </rPh>
    <rPh sb="8" eb="10">
      <t>ヒョウジ</t>
    </rPh>
    <rPh sb="11" eb="13">
      <t>ケンサク</t>
    </rPh>
    <rPh sb="18" eb="20">
      <t>サクジョ</t>
    </rPh>
    <phoneticPr fontId="2"/>
  </si>
  <si>
    <t>情報一括追加テンプレートの出力</t>
    <rPh sb="0" eb="2">
      <t>ジョウホウ</t>
    </rPh>
    <rPh sb="2" eb="4">
      <t>イッカツ</t>
    </rPh>
    <rPh sb="4" eb="6">
      <t>ツイカ</t>
    </rPh>
    <rPh sb="13" eb="15">
      <t>シュツリョク</t>
    </rPh>
    <phoneticPr fontId="2"/>
  </si>
  <si>
    <t>選択した情報の出力</t>
    <rPh sb="0" eb="2">
      <t>センタク</t>
    </rPh>
    <rPh sb="4" eb="6">
      <t>ジョウホウ</t>
    </rPh>
    <rPh sb="7" eb="9">
      <t>シュツリョク</t>
    </rPh>
    <phoneticPr fontId="2"/>
  </si>
  <si>
    <t>詳細情報の表示、保存日時表示、情報更新</t>
    <rPh sb="0" eb="4">
      <t>ショウサイジョウホウ</t>
    </rPh>
    <rPh sb="5" eb="7">
      <t>ヒョウジ</t>
    </rPh>
    <rPh sb="8" eb="10">
      <t>ホゾン</t>
    </rPh>
    <rPh sb="10" eb="12">
      <t>ニチジ</t>
    </rPh>
    <rPh sb="12" eb="14">
      <t>ヒョウジ</t>
    </rPh>
    <rPh sb="15" eb="19">
      <t>ジョウホウコウシン</t>
    </rPh>
    <phoneticPr fontId="2"/>
  </si>
  <si>
    <t>画面仕様書</t>
    <rPh sb="0" eb="2">
      <t>ガメン</t>
    </rPh>
    <rPh sb="2" eb="5">
      <t>シヨウショ</t>
    </rPh>
    <phoneticPr fontId="2"/>
  </si>
  <si>
    <t>画像イメージの作成</t>
    <rPh sb="0" eb="2">
      <t>ガゾウ</t>
    </rPh>
    <rPh sb="7" eb="9">
      <t>サクセイ</t>
    </rPh>
    <phoneticPr fontId="2"/>
  </si>
  <si>
    <t>参考UIおよび機能の補足も加える</t>
    <rPh sb="0" eb="2">
      <t>サンコウ</t>
    </rPh>
    <rPh sb="7" eb="9">
      <t>キノウ</t>
    </rPh>
    <rPh sb="10" eb="12">
      <t>ホソク</t>
    </rPh>
    <rPh sb="13" eb="14">
      <t>クワ</t>
    </rPh>
    <phoneticPr fontId="2"/>
  </si>
  <si>
    <t>1件追加するせっていにする</t>
    <rPh sb="1" eb="4">
      <t>ケンツイカ</t>
    </rPh>
    <phoneticPr fontId="2"/>
  </si>
  <si>
    <t>ユーザーに提示する文言</t>
    <rPh sb="5" eb="7">
      <t>テイジ</t>
    </rPh>
    <rPh sb="9" eb="11">
      <t>モンゴン</t>
    </rPh>
    <phoneticPr fontId="2"/>
  </si>
  <si>
    <t>「画像イメージの作成」と合わせたタスク？</t>
    <rPh sb="1" eb="3">
      <t>ガゾウ</t>
    </rPh>
    <rPh sb="8" eb="10">
      <t>サクセイ</t>
    </rPh>
    <rPh sb="12" eb="13">
      <t>ア</t>
    </rPh>
    <phoneticPr fontId="2"/>
  </si>
  <si>
    <t>クラス図</t>
    <rPh sb="3" eb="4">
      <t>ズ</t>
    </rPh>
    <phoneticPr fontId="2"/>
  </si>
  <si>
    <t>状態遷移図・状態遷移表</t>
    <rPh sb="0" eb="5">
      <t>ジョウタイセンイズ</t>
    </rPh>
    <rPh sb="6" eb="8">
      <t>ジョウタイ</t>
    </rPh>
    <rPh sb="8" eb="11">
      <t>センイヒョウ</t>
    </rPh>
    <phoneticPr fontId="2"/>
  </si>
  <si>
    <t>設計→レビュー</t>
    <rPh sb="0" eb="2">
      <t>セッケイ</t>
    </rPh>
    <phoneticPr fontId="2"/>
  </si>
  <si>
    <t>シーケンス図</t>
    <rPh sb="5" eb="6">
      <t>ズ</t>
    </rPh>
    <phoneticPr fontId="2"/>
  </si>
  <si>
    <t>設計→レビュー</t>
    <rPh sb="0" eb="3">
      <t>セッケイミギ</t>
    </rPh>
    <phoneticPr fontId="2"/>
  </si>
  <si>
    <t>クラス設計</t>
    <rPh sb="3" eb="5">
      <t>セッケイ</t>
    </rPh>
    <phoneticPr fontId="2"/>
  </si>
  <si>
    <t>MainApp</t>
    <phoneticPr fontId="2"/>
  </si>
  <si>
    <t>Employee</t>
    <phoneticPr fontId="2"/>
  </si>
  <si>
    <t>EmployeeManager</t>
    <phoneticPr fontId="2"/>
  </si>
  <si>
    <t>EmployeeView</t>
    <phoneticPr fontId="2"/>
  </si>
  <si>
    <t>エントリーポイント、メイン、全体管理</t>
    <rPh sb="14" eb="18">
      <t>ゼンタイカンリ</t>
    </rPh>
    <phoneticPr fontId="2"/>
  </si>
  <si>
    <t>社員情報のクラス、社員ID、名前、生年月日の属性</t>
    <rPh sb="0" eb="2">
      <t>シャイン</t>
    </rPh>
    <rPh sb="2" eb="4">
      <t>ジョウホウ</t>
    </rPh>
    <rPh sb="9" eb="11">
      <t>シャイン</t>
    </rPh>
    <rPh sb="14" eb="16">
      <t>ナマエ</t>
    </rPh>
    <rPh sb="17" eb="21">
      <t>セイネンガッピ</t>
    </rPh>
    <rPh sb="22" eb="24">
      <t>ゾクセイ</t>
    </rPh>
    <phoneticPr fontId="2"/>
  </si>
  <si>
    <t>社員情報の管理、データの追加、削除、保存</t>
    <rPh sb="0" eb="2">
      <t>シャイン</t>
    </rPh>
    <rPh sb="2" eb="4">
      <t>ジョウホウ</t>
    </rPh>
    <rPh sb="5" eb="7">
      <t>カンリ</t>
    </rPh>
    <rPh sb="12" eb="14">
      <t>ツイカ</t>
    </rPh>
    <rPh sb="15" eb="17">
      <t>サクジョ</t>
    </rPh>
    <rPh sb="18" eb="20">
      <t>ホゾン</t>
    </rPh>
    <phoneticPr fontId="2"/>
  </si>
  <si>
    <t>Swing使用しての社員情報の表示管理</t>
    <rPh sb="5" eb="7">
      <t>シヨウ</t>
    </rPh>
    <rPh sb="10" eb="14">
      <t>シャインジョウホウ</t>
    </rPh>
    <rPh sb="15" eb="17">
      <t>ヒョウジ</t>
    </rPh>
    <rPh sb="17" eb="19">
      <t>カンリ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</si>
</sst>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"/>
    <numFmt numFmtId="177" formatCode="dd"/>
    <numFmt numFmtId="178" formatCode="m/d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76" fontId="1" fillId="3" borderId="3" xfId="0" applyNumberFormat="1" applyFont="1" applyFill="1" applyBorder="1" applyAlignment="1">
      <alignment horizontal="center"/>
    </xf>
    <xf numFmtId="176" fontId="1" fillId="3" borderId="4" xfId="0" applyNumberFormat="1" applyFont="1" applyFill="1" applyBorder="1" applyAlignment="1">
      <alignment horizontal="center"/>
    </xf>
    <xf numFmtId="176" fontId="1" fillId="3" borderId="5" xfId="0" applyNumberFormat="1" applyFont="1" applyFill="1" applyBorder="1" applyAlignment="1">
      <alignment horizontal="center"/>
    </xf>
    <xf numFmtId="176" fontId="1" fillId="3" borderId="2" xfId="0" applyNumberFormat="1" applyFont="1" applyFill="1" applyBorder="1" applyAlignment="1">
      <alignment horizontal="center"/>
    </xf>
    <xf numFmtId="0" fontId="1" fillId="3" borderId="0" xfId="0" applyFont="1" applyFill="1"/>
    <xf numFmtId="0" fontId="1" fillId="2" borderId="6" xfId="0" applyFont="1" applyFill="1" applyBorder="1"/>
    <xf numFmtId="0" fontId="1" fillId="2" borderId="6" xfId="0" applyFont="1" applyFill="1" applyBorder="1" applyAlignment="1">
      <alignment horizontal="center"/>
    </xf>
    <xf numFmtId="177" fontId="1" fillId="3" borderId="2" xfId="0" applyNumberFormat="1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0" borderId="2" xfId="0" applyFont="1" applyBorder="1"/>
    <xf numFmtId="0" fontId="1" fillId="0" borderId="1" xfId="0" applyFont="1" applyBorder="1"/>
    <xf numFmtId="178" fontId="1" fillId="0" borderId="2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2" borderId="2" xfId="0" applyFont="1" applyFill="1" applyBorder="1"/>
    <xf numFmtId="0" fontId="3" fillId="0" borderId="2" xfId="0" applyFont="1" applyBorder="1"/>
    <xf numFmtId="0" fontId="4" fillId="0" borderId="2" xfId="0" applyFont="1" applyBorder="1"/>
    <xf numFmtId="0" fontId="5" fillId="0" borderId="2" xfId="0" applyFont="1" applyBorder="1"/>
    <xf numFmtId="178" fontId="4" fillId="0" borderId="2" xfId="0" applyNumberFormat="1" applyFont="1" applyBorder="1"/>
    <xf numFmtId="177" fontId="4" fillId="3" borderId="2" xfId="0" applyNumberFormat="1" applyFont="1" applyFill="1" applyBorder="1" applyAlignment="1">
      <alignment horizontal="center"/>
    </xf>
    <xf numFmtId="176" fontId="1" fillId="3" borderId="8" xfId="0" applyNumberFormat="1" applyFont="1" applyFill="1" applyBorder="1" applyAlignment="1">
      <alignment horizontal="center"/>
    </xf>
    <xf numFmtId="177" fontId="4" fillId="3" borderId="7" xfId="0" applyNumberFormat="1" applyFont="1" applyFill="1" applyBorder="1" applyAlignment="1">
      <alignment horizontal="center"/>
    </xf>
    <xf numFmtId="176" fontId="1" fillId="3" borderId="9" xfId="0" applyNumberFormat="1" applyFont="1" applyFill="1" applyBorder="1" applyAlignment="1">
      <alignment horizontal="center"/>
    </xf>
    <xf numFmtId="0" fontId="1" fillId="4" borderId="2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P24"/>
  <sheetViews>
    <sheetView showGridLines="0" tabSelected="1" zoomScale="59" zoomScaleNormal="59" workbookViewId="0">
      <pane xSplit="11" topLeftCell="L1" activePane="topRight" state="frozen"/>
      <selection pane="topRight" activeCell="F5" sqref="F5"/>
    </sheetView>
  </sheetViews>
  <sheetFormatPr defaultColWidth="12.6328125" defaultRowHeight="15.75" customHeight="1" x14ac:dyDescent="0.25"/>
  <cols>
    <col min="1" max="1" width="5.26953125" customWidth="1"/>
    <col min="2" max="2" width="19.81640625" customWidth="1"/>
    <col min="3" max="3" width="24.7265625" customWidth="1"/>
    <col min="4" max="4" width="43.90625" customWidth="1"/>
    <col min="11" max="11" width="6.453125" customWidth="1"/>
    <col min="12" max="94" width="7.26953125" customWidth="1"/>
  </cols>
  <sheetData>
    <row r="1" spans="1:9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>
        <v>46167</v>
      </c>
      <c r="M1" s="5"/>
      <c r="N1" s="5"/>
      <c r="O1" s="5"/>
      <c r="P1" s="5"/>
      <c r="Q1" s="5"/>
      <c r="R1" s="5"/>
      <c r="S1" s="26">
        <v>46174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28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  <c r="BM1" s="7">
        <v>45627</v>
      </c>
      <c r="BN1" s="8"/>
    </row>
    <row r="2" spans="1:94" ht="15.75" customHeight="1" x14ac:dyDescent="0.25">
      <c r="A2" s="9"/>
      <c r="B2" s="9"/>
      <c r="C2" s="9"/>
      <c r="D2" s="9" t="s">
        <v>11</v>
      </c>
      <c r="E2" s="9"/>
      <c r="F2" s="9"/>
      <c r="G2" s="9"/>
      <c r="H2" s="10" t="s">
        <v>12</v>
      </c>
      <c r="I2" s="10" t="s">
        <v>12</v>
      </c>
      <c r="J2" s="10" t="s">
        <v>13</v>
      </c>
      <c r="K2" s="3" t="s">
        <v>14</v>
      </c>
      <c r="L2" s="25">
        <v>46167</v>
      </c>
      <c r="M2" s="25">
        <v>46168</v>
      </c>
      <c r="N2" s="25">
        <v>46169</v>
      </c>
      <c r="O2" s="25">
        <v>46170</v>
      </c>
      <c r="P2" s="25">
        <v>46171</v>
      </c>
      <c r="Q2" s="25">
        <v>46172</v>
      </c>
      <c r="R2" s="25">
        <v>46173</v>
      </c>
      <c r="S2" s="25">
        <v>46174</v>
      </c>
      <c r="T2" s="25">
        <v>46175</v>
      </c>
      <c r="U2" s="25">
        <v>46176</v>
      </c>
      <c r="V2" s="25">
        <v>46177</v>
      </c>
      <c r="W2" s="25">
        <v>46178</v>
      </c>
      <c r="X2" s="25">
        <v>46179</v>
      </c>
      <c r="Y2" s="25">
        <v>46180</v>
      </c>
      <c r="Z2" s="25">
        <v>46181</v>
      </c>
      <c r="AA2" s="25">
        <v>46182</v>
      </c>
      <c r="AB2" s="25">
        <v>46183</v>
      </c>
      <c r="AC2" s="25">
        <v>46184</v>
      </c>
      <c r="AD2" s="25">
        <v>46185</v>
      </c>
      <c r="AE2" s="25">
        <v>46186</v>
      </c>
      <c r="AF2" s="25">
        <v>46187</v>
      </c>
      <c r="AG2" s="25">
        <v>46188</v>
      </c>
      <c r="AH2" s="25">
        <v>46189</v>
      </c>
      <c r="AI2" s="27">
        <v>46190</v>
      </c>
      <c r="AJ2" s="25">
        <v>46191</v>
      </c>
      <c r="AK2" s="25">
        <v>46192</v>
      </c>
      <c r="AL2" s="25">
        <v>46193</v>
      </c>
      <c r="AM2" s="25">
        <v>46194</v>
      </c>
      <c r="AN2" s="25">
        <v>46195</v>
      </c>
      <c r="AO2" s="25">
        <v>46196</v>
      </c>
      <c r="AP2" s="25">
        <v>46197</v>
      </c>
      <c r="AQ2" s="25">
        <v>46198</v>
      </c>
      <c r="AR2" s="25">
        <v>46199</v>
      </c>
      <c r="AS2" s="25">
        <v>46200</v>
      </c>
      <c r="AT2" s="25">
        <v>46201</v>
      </c>
      <c r="AU2" s="25">
        <v>46202</v>
      </c>
      <c r="AV2" s="25">
        <v>46203</v>
      </c>
      <c r="AW2" s="25">
        <v>46204</v>
      </c>
      <c r="AX2" s="25">
        <v>46205</v>
      </c>
      <c r="AY2" s="25">
        <v>46206</v>
      </c>
      <c r="AZ2" s="25">
        <v>46207</v>
      </c>
      <c r="BA2" s="25">
        <v>46208</v>
      </c>
      <c r="BB2" s="25">
        <v>46209</v>
      </c>
      <c r="BC2" s="25">
        <v>46210</v>
      </c>
      <c r="BD2" s="11">
        <v>45618</v>
      </c>
      <c r="BE2" s="11">
        <v>45619</v>
      </c>
      <c r="BF2" s="11">
        <v>45620</v>
      </c>
      <c r="BG2" s="11">
        <v>45621</v>
      </c>
      <c r="BH2" s="11">
        <v>45622</v>
      </c>
      <c r="BI2" s="11">
        <v>45623</v>
      </c>
      <c r="BJ2" s="11">
        <v>45624</v>
      </c>
      <c r="BK2" s="11">
        <v>45625</v>
      </c>
      <c r="BL2" s="11">
        <v>45626</v>
      </c>
      <c r="BM2" s="11">
        <v>45627</v>
      </c>
      <c r="BN2" s="11">
        <v>45628</v>
      </c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</row>
    <row r="3" spans="1:94" ht="15.75" customHeight="1" x14ac:dyDescent="0.25">
      <c r="A3" s="13"/>
      <c r="B3" s="13"/>
      <c r="C3" s="13"/>
      <c r="D3" s="13"/>
      <c r="E3" s="13"/>
      <c r="F3" s="13"/>
      <c r="G3" s="13"/>
      <c r="H3" s="14"/>
      <c r="I3" s="14" t="s">
        <v>15</v>
      </c>
      <c r="J3" s="14" t="s">
        <v>15</v>
      </c>
      <c r="K3" s="3" t="s">
        <v>16</v>
      </c>
      <c r="L3" s="11" t="str">
        <f>TEXT(L2,"ddd")</f>
        <v>Mon</v>
      </c>
      <c r="M3" s="11" t="str">
        <f t="shared" ref="M3:BC3" si="0">TEXT(M2,"ddd")</f>
        <v>Tue</v>
      </c>
      <c r="N3" s="11" t="str">
        <f t="shared" si="0"/>
        <v>Wed</v>
      </c>
      <c r="O3" s="11" t="str">
        <f t="shared" si="0"/>
        <v>Thu</v>
      </c>
      <c r="P3" s="11" t="str">
        <f t="shared" si="0"/>
        <v>Fri</v>
      </c>
      <c r="Q3" s="11" t="str">
        <f t="shared" si="0"/>
        <v>Sat</v>
      </c>
      <c r="R3" s="11" t="str">
        <f t="shared" si="0"/>
        <v>Sun</v>
      </c>
      <c r="S3" s="11" t="str">
        <f t="shared" si="0"/>
        <v>Mon</v>
      </c>
      <c r="T3" s="11" t="str">
        <f t="shared" si="0"/>
        <v>Tue</v>
      </c>
      <c r="U3" s="11" t="str">
        <f t="shared" si="0"/>
        <v>Wed</v>
      </c>
      <c r="V3" s="11" t="str">
        <f t="shared" si="0"/>
        <v>Thu</v>
      </c>
      <c r="W3" s="11" t="str">
        <f t="shared" si="0"/>
        <v>Fri</v>
      </c>
      <c r="X3" s="11" t="str">
        <f t="shared" si="0"/>
        <v>Sat</v>
      </c>
      <c r="Y3" s="11" t="str">
        <f t="shared" si="0"/>
        <v>Sun</v>
      </c>
      <c r="Z3" s="11" t="str">
        <f t="shared" si="0"/>
        <v>Mon</v>
      </c>
      <c r="AA3" s="11" t="str">
        <f t="shared" si="0"/>
        <v>Tue</v>
      </c>
      <c r="AB3" s="11" t="str">
        <f t="shared" si="0"/>
        <v>Wed</v>
      </c>
      <c r="AC3" s="11" t="str">
        <f t="shared" si="0"/>
        <v>Thu</v>
      </c>
      <c r="AD3" s="11" t="str">
        <f t="shared" si="0"/>
        <v>Fri</v>
      </c>
      <c r="AE3" s="11" t="str">
        <f t="shared" si="0"/>
        <v>Sat</v>
      </c>
      <c r="AF3" s="11" t="str">
        <f t="shared" si="0"/>
        <v>Sun</v>
      </c>
      <c r="AG3" s="11" t="str">
        <f t="shared" si="0"/>
        <v>Mon</v>
      </c>
      <c r="AH3" s="11" t="str">
        <f t="shared" si="0"/>
        <v>Tue</v>
      </c>
      <c r="AI3" s="11" t="str">
        <f t="shared" si="0"/>
        <v>Wed</v>
      </c>
      <c r="AJ3" s="11" t="str">
        <f t="shared" si="0"/>
        <v>Thu</v>
      </c>
      <c r="AK3" s="11" t="str">
        <f t="shared" si="0"/>
        <v>Fri</v>
      </c>
      <c r="AL3" s="11" t="str">
        <f t="shared" si="0"/>
        <v>Sat</v>
      </c>
      <c r="AM3" s="11" t="str">
        <f t="shared" si="0"/>
        <v>Sun</v>
      </c>
      <c r="AN3" s="11" t="str">
        <f t="shared" si="0"/>
        <v>Mon</v>
      </c>
      <c r="AO3" s="11" t="str">
        <f t="shared" si="0"/>
        <v>Tue</v>
      </c>
      <c r="AP3" s="11" t="str">
        <f t="shared" si="0"/>
        <v>Wed</v>
      </c>
      <c r="AQ3" s="11" t="str">
        <f t="shared" si="0"/>
        <v>Thu</v>
      </c>
      <c r="AR3" s="11" t="str">
        <f t="shared" si="0"/>
        <v>Fri</v>
      </c>
      <c r="AS3" s="11" t="str">
        <f t="shared" si="0"/>
        <v>Sat</v>
      </c>
      <c r="AT3" s="11" t="str">
        <f t="shared" si="0"/>
        <v>Sun</v>
      </c>
      <c r="AU3" s="11" t="str">
        <f t="shared" si="0"/>
        <v>Mon</v>
      </c>
      <c r="AV3" s="11" t="str">
        <f t="shared" si="0"/>
        <v>Tue</v>
      </c>
      <c r="AW3" s="11" t="str">
        <f t="shared" si="0"/>
        <v>Wed</v>
      </c>
      <c r="AX3" s="11" t="str">
        <f t="shared" si="0"/>
        <v>Thu</v>
      </c>
      <c r="AY3" s="11" t="str">
        <f t="shared" si="0"/>
        <v>Fri</v>
      </c>
      <c r="AZ3" s="11" t="str">
        <f t="shared" si="0"/>
        <v>Sat</v>
      </c>
      <c r="BA3" s="11" t="str">
        <f t="shared" si="0"/>
        <v>Sun</v>
      </c>
      <c r="BB3" s="11" t="str">
        <f t="shared" si="0"/>
        <v>Mon</v>
      </c>
      <c r="BC3" s="11" t="str">
        <f t="shared" si="0"/>
        <v>Tue</v>
      </c>
      <c r="BD3" s="11" t="str">
        <f t="shared" ref="L3:BN3" si="1">TEXT(BD2,"ddd")</f>
        <v>Fri</v>
      </c>
      <c r="BE3" s="11" t="str">
        <f t="shared" si="1"/>
        <v>Sat</v>
      </c>
      <c r="BF3" s="11" t="str">
        <f t="shared" si="1"/>
        <v>Sun</v>
      </c>
      <c r="BG3" s="11" t="str">
        <f t="shared" si="1"/>
        <v>Mon</v>
      </c>
      <c r="BH3" s="11" t="str">
        <f t="shared" si="1"/>
        <v>Tue</v>
      </c>
      <c r="BI3" s="11" t="str">
        <f t="shared" si="1"/>
        <v>Wed</v>
      </c>
      <c r="BJ3" s="11" t="str">
        <f t="shared" si="1"/>
        <v>Thu</v>
      </c>
      <c r="BK3" s="11" t="str">
        <f t="shared" si="1"/>
        <v>Fri</v>
      </c>
      <c r="BL3" s="11" t="str">
        <f t="shared" si="1"/>
        <v>Sat</v>
      </c>
      <c r="BM3" s="11" t="str">
        <f t="shared" si="1"/>
        <v>Sun</v>
      </c>
      <c r="BN3" s="11" t="str">
        <f t="shared" si="1"/>
        <v>Mon</v>
      </c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</row>
    <row r="4" spans="1:94" ht="15.75" customHeight="1" x14ac:dyDescent="0.25">
      <c r="A4" s="15">
        <f t="shared" ref="A4:A24" si="2">ROW()-ROW(A$3)</f>
        <v>1</v>
      </c>
      <c r="B4" s="16" t="s">
        <v>17</v>
      </c>
      <c r="C4" s="15" t="s">
        <v>18</v>
      </c>
      <c r="D4" s="21" t="s">
        <v>43</v>
      </c>
      <c r="E4" s="15" t="s">
        <v>19</v>
      </c>
      <c r="F4" s="24">
        <v>46167</v>
      </c>
      <c r="G4" s="17">
        <v>46173</v>
      </c>
      <c r="H4" s="15">
        <v>15</v>
      </c>
      <c r="I4" s="15">
        <f t="shared" ref="I4:I24" si="3">SUM(L4:CP4)</f>
        <v>0</v>
      </c>
      <c r="J4" s="15">
        <f t="shared" ref="J4:J24" si="4">IFERROR(I4/H4*100,"")</f>
        <v>0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</row>
    <row r="5" spans="1:94" ht="15.75" customHeight="1" x14ac:dyDescent="0.25">
      <c r="A5" s="15">
        <f t="shared" si="2"/>
        <v>2</v>
      </c>
      <c r="B5" s="18"/>
      <c r="C5" s="15" t="s">
        <v>20</v>
      </c>
      <c r="D5" s="23" t="s">
        <v>46</v>
      </c>
      <c r="E5" s="15" t="s">
        <v>19</v>
      </c>
      <c r="F5" s="24">
        <v>46167</v>
      </c>
      <c r="G5" s="17">
        <v>46173</v>
      </c>
      <c r="H5" s="15">
        <v>15</v>
      </c>
      <c r="I5" s="15">
        <f t="shared" si="3"/>
        <v>0</v>
      </c>
      <c r="J5" s="15">
        <f t="shared" si="4"/>
        <v>0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</row>
    <row r="6" spans="1:94" ht="15.75" customHeight="1" x14ac:dyDescent="0.25">
      <c r="A6" s="15">
        <f t="shared" si="2"/>
        <v>3</v>
      </c>
      <c r="B6" s="18"/>
      <c r="C6" s="15" t="s">
        <v>21</v>
      </c>
      <c r="D6" s="22" t="s">
        <v>50</v>
      </c>
      <c r="E6" s="15" t="s">
        <v>19</v>
      </c>
      <c r="F6" s="24">
        <v>46167</v>
      </c>
      <c r="G6" s="17">
        <v>46173</v>
      </c>
      <c r="H6" s="15">
        <v>5</v>
      </c>
      <c r="I6" s="15">
        <f t="shared" si="3"/>
        <v>0</v>
      </c>
      <c r="J6" s="15">
        <f t="shared" si="4"/>
        <v>0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</row>
    <row r="7" spans="1:94" ht="15.75" customHeight="1" x14ac:dyDescent="0.25">
      <c r="A7" s="15">
        <f t="shared" si="2"/>
        <v>4</v>
      </c>
      <c r="B7" s="18"/>
      <c r="C7" s="15" t="s">
        <v>22</v>
      </c>
      <c r="D7" s="21" t="s">
        <v>44</v>
      </c>
      <c r="E7" s="15" t="s">
        <v>23</v>
      </c>
      <c r="F7" s="24">
        <v>46167</v>
      </c>
      <c r="G7" s="17">
        <v>46173</v>
      </c>
      <c r="H7" s="15">
        <v>5</v>
      </c>
      <c r="I7" s="15">
        <f t="shared" si="3"/>
        <v>0</v>
      </c>
      <c r="J7" s="15">
        <f t="shared" si="4"/>
        <v>0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</row>
    <row r="8" spans="1:94" ht="15.75" customHeight="1" x14ac:dyDescent="0.25">
      <c r="A8" s="15">
        <f t="shared" si="2"/>
        <v>5</v>
      </c>
      <c r="B8" s="19"/>
      <c r="C8" s="15" t="s">
        <v>24</v>
      </c>
      <c r="D8" s="21" t="s">
        <v>45</v>
      </c>
      <c r="E8" s="15" t="s">
        <v>23</v>
      </c>
      <c r="F8" s="24">
        <v>46167</v>
      </c>
      <c r="G8" s="17">
        <v>46173</v>
      </c>
      <c r="H8" s="15">
        <v>5</v>
      </c>
      <c r="I8" s="15">
        <f t="shared" si="3"/>
        <v>0</v>
      </c>
      <c r="J8" s="15">
        <f t="shared" si="4"/>
        <v>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</row>
    <row r="9" spans="1:94" ht="15.75" customHeight="1" x14ac:dyDescent="0.25">
      <c r="A9" s="15">
        <f t="shared" si="2"/>
        <v>6</v>
      </c>
      <c r="B9" s="21" t="s">
        <v>47</v>
      </c>
      <c r="C9" s="21" t="s">
        <v>48</v>
      </c>
      <c r="D9" s="21" t="s">
        <v>49</v>
      </c>
      <c r="E9" s="15"/>
      <c r="F9" s="24">
        <v>46174</v>
      </c>
      <c r="G9" s="17">
        <v>46180</v>
      </c>
      <c r="H9" s="15">
        <v>20</v>
      </c>
      <c r="I9" s="15">
        <f t="shared" si="3"/>
        <v>0</v>
      </c>
      <c r="J9" s="15">
        <f t="shared" si="4"/>
        <v>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</row>
    <row r="10" spans="1:94" ht="15.75" customHeight="1" x14ac:dyDescent="0.25">
      <c r="A10" s="15">
        <f t="shared" si="2"/>
        <v>7</v>
      </c>
      <c r="B10" s="15"/>
      <c r="C10" s="21" t="s">
        <v>51</v>
      </c>
      <c r="D10" s="21" t="s">
        <v>52</v>
      </c>
      <c r="E10" s="15"/>
      <c r="F10" s="24">
        <v>46174</v>
      </c>
      <c r="G10" s="17">
        <v>46180</v>
      </c>
      <c r="H10" s="15">
        <v>10</v>
      </c>
      <c r="I10" s="15">
        <f t="shared" si="3"/>
        <v>0</v>
      </c>
      <c r="J10" s="15">
        <f t="shared" si="4"/>
        <v>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</row>
    <row r="11" spans="1:94" ht="15.75" customHeight="1" x14ac:dyDescent="0.25">
      <c r="A11" s="15">
        <f t="shared" si="2"/>
        <v>8</v>
      </c>
      <c r="B11" s="21" t="s">
        <v>53</v>
      </c>
      <c r="C11" s="21" t="s">
        <v>55</v>
      </c>
      <c r="D11" s="15"/>
      <c r="E11" s="15"/>
      <c r="F11" s="24">
        <v>46174</v>
      </c>
      <c r="G11" s="17">
        <v>46180</v>
      </c>
      <c r="H11" s="15">
        <v>10</v>
      </c>
      <c r="I11" s="15">
        <f t="shared" si="3"/>
        <v>0</v>
      </c>
      <c r="J11" s="15">
        <f t="shared" si="4"/>
        <v>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</row>
    <row r="12" spans="1:94" ht="15.75" customHeight="1" x14ac:dyDescent="0.25">
      <c r="A12" s="15">
        <f t="shared" si="2"/>
        <v>9</v>
      </c>
      <c r="B12" s="21" t="s">
        <v>54</v>
      </c>
      <c r="C12" s="21" t="s">
        <v>55</v>
      </c>
      <c r="D12" s="15"/>
      <c r="E12" s="15"/>
      <c r="F12" s="24">
        <v>46174</v>
      </c>
      <c r="G12" s="17">
        <v>46180</v>
      </c>
      <c r="H12" s="15">
        <v>10</v>
      </c>
      <c r="I12" s="15">
        <f t="shared" si="3"/>
        <v>0</v>
      </c>
      <c r="J12" s="15">
        <f t="shared" si="4"/>
        <v>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</row>
    <row r="13" spans="1:94" ht="15.75" customHeight="1" x14ac:dyDescent="0.25">
      <c r="A13" s="15">
        <f t="shared" si="2"/>
        <v>10</v>
      </c>
      <c r="B13" s="21" t="s">
        <v>56</v>
      </c>
      <c r="C13" s="21" t="s">
        <v>57</v>
      </c>
      <c r="D13" s="15"/>
      <c r="E13" s="15"/>
      <c r="F13" s="24">
        <v>46174</v>
      </c>
      <c r="G13" s="17">
        <v>46180</v>
      </c>
      <c r="H13" s="15">
        <v>10</v>
      </c>
      <c r="I13" s="15">
        <f t="shared" si="3"/>
        <v>0</v>
      </c>
      <c r="J13" s="15">
        <f t="shared" si="4"/>
        <v>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</row>
    <row r="14" spans="1:94" ht="15.75" customHeight="1" x14ac:dyDescent="0.25">
      <c r="A14" s="15">
        <f t="shared" si="2"/>
        <v>11</v>
      </c>
      <c r="B14" s="21" t="s">
        <v>58</v>
      </c>
      <c r="C14" s="22" t="s">
        <v>59</v>
      </c>
      <c r="D14" s="21" t="s">
        <v>63</v>
      </c>
      <c r="E14" s="15"/>
      <c r="F14" s="24">
        <v>46167</v>
      </c>
      <c r="G14" s="17">
        <v>46173</v>
      </c>
      <c r="H14" s="15">
        <v>10</v>
      </c>
      <c r="I14" s="15">
        <f t="shared" si="3"/>
        <v>0</v>
      </c>
      <c r="J14" s="15">
        <f t="shared" si="4"/>
        <v>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</row>
    <row r="15" spans="1:94" ht="15.75" customHeight="1" x14ac:dyDescent="0.25">
      <c r="A15" s="15">
        <f t="shared" si="2"/>
        <v>12</v>
      </c>
      <c r="B15" s="15"/>
      <c r="C15" s="22" t="s">
        <v>60</v>
      </c>
      <c r="D15" s="21" t="s">
        <v>64</v>
      </c>
      <c r="E15" s="15"/>
      <c r="F15" s="24">
        <v>46167</v>
      </c>
      <c r="G15" s="17">
        <v>46173</v>
      </c>
      <c r="H15" s="15">
        <v>10</v>
      </c>
      <c r="I15" s="15">
        <f t="shared" si="3"/>
        <v>0</v>
      </c>
      <c r="J15" s="15">
        <f t="shared" si="4"/>
        <v>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</row>
    <row r="16" spans="1:94" ht="15.75" customHeight="1" x14ac:dyDescent="0.25">
      <c r="A16" s="15">
        <f t="shared" si="2"/>
        <v>13</v>
      </c>
      <c r="B16" s="15"/>
      <c r="C16" s="22" t="s">
        <v>61</v>
      </c>
      <c r="D16" s="22" t="s">
        <v>65</v>
      </c>
      <c r="E16" s="15"/>
      <c r="F16" s="24">
        <v>46167</v>
      </c>
      <c r="G16" s="17">
        <v>46173</v>
      </c>
      <c r="H16" s="15">
        <v>10</v>
      </c>
      <c r="I16" s="15">
        <f t="shared" si="3"/>
        <v>0</v>
      </c>
      <c r="J16" s="15">
        <f t="shared" si="4"/>
        <v>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</row>
    <row r="17" spans="1:66" ht="15.75" customHeight="1" x14ac:dyDescent="0.25">
      <c r="A17" s="15">
        <f t="shared" si="2"/>
        <v>14</v>
      </c>
      <c r="B17" s="15"/>
      <c r="C17" s="22" t="s">
        <v>62</v>
      </c>
      <c r="D17" s="22" t="s">
        <v>66</v>
      </c>
      <c r="E17" s="15"/>
      <c r="F17" s="24">
        <v>46167</v>
      </c>
      <c r="G17" s="17">
        <v>46173</v>
      </c>
      <c r="H17" s="15">
        <v>10</v>
      </c>
      <c r="I17" s="15">
        <f t="shared" si="3"/>
        <v>0</v>
      </c>
      <c r="J17" s="15">
        <f t="shared" si="4"/>
        <v>0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</row>
    <row r="18" spans="1:66" ht="12.5" x14ac:dyDescent="0.25">
      <c r="A18" s="15">
        <f t="shared" si="2"/>
        <v>15</v>
      </c>
      <c r="B18" s="15"/>
      <c r="C18" s="15"/>
      <c r="D18" s="15"/>
      <c r="E18" s="15"/>
      <c r="F18" s="15"/>
      <c r="G18" s="17"/>
      <c r="H18" s="15"/>
      <c r="I18" s="15">
        <f t="shared" si="3"/>
        <v>0</v>
      </c>
      <c r="J18" s="15" t="str">
        <f t="shared" si="4"/>
        <v/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</row>
    <row r="19" spans="1:66" ht="12.5" x14ac:dyDescent="0.25">
      <c r="A19" s="15">
        <f t="shared" si="2"/>
        <v>16</v>
      </c>
      <c r="B19" s="15"/>
      <c r="C19" s="15"/>
      <c r="D19" s="15"/>
      <c r="E19" s="15"/>
      <c r="F19" s="15"/>
      <c r="G19" s="15"/>
      <c r="H19" s="15"/>
      <c r="I19" s="15">
        <f t="shared" si="3"/>
        <v>0</v>
      </c>
      <c r="J19" s="15" t="str">
        <f t="shared" si="4"/>
        <v/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</row>
    <row r="20" spans="1:66" ht="12.5" x14ac:dyDescent="0.25">
      <c r="A20" s="15">
        <f t="shared" si="2"/>
        <v>17</v>
      </c>
      <c r="B20" s="15"/>
      <c r="C20" s="15"/>
      <c r="D20" s="15"/>
      <c r="E20" s="15"/>
      <c r="F20" s="15"/>
      <c r="G20" s="15"/>
      <c r="H20" s="15"/>
      <c r="I20" s="15">
        <f t="shared" si="3"/>
        <v>0</v>
      </c>
      <c r="J20" s="15" t="str">
        <f t="shared" si="4"/>
        <v/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</row>
    <row r="21" spans="1:66" ht="12.5" x14ac:dyDescent="0.25">
      <c r="A21" s="15">
        <f t="shared" si="2"/>
        <v>18</v>
      </c>
      <c r="B21" s="15"/>
      <c r="C21" s="15"/>
      <c r="D21" s="15"/>
      <c r="E21" s="15"/>
      <c r="F21" s="15"/>
      <c r="G21" s="15"/>
      <c r="H21" s="15"/>
      <c r="I21" s="15">
        <f t="shared" si="3"/>
        <v>0</v>
      </c>
      <c r="J21" s="15" t="str">
        <f t="shared" si="4"/>
        <v/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</row>
    <row r="22" spans="1:66" ht="12.5" x14ac:dyDescent="0.25">
      <c r="A22" s="15">
        <f t="shared" si="2"/>
        <v>19</v>
      </c>
      <c r="B22" s="15"/>
      <c r="C22" s="15"/>
      <c r="D22" s="15"/>
      <c r="E22" s="15"/>
      <c r="F22" s="15"/>
      <c r="G22" s="15"/>
      <c r="H22" s="15"/>
      <c r="I22" s="15">
        <f t="shared" si="3"/>
        <v>0</v>
      </c>
      <c r="J22" s="15" t="str">
        <f t="shared" si="4"/>
        <v/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</row>
    <row r="23" spans="1:66" ht="12.5" x14ac:dyDescent="0.25">
      <c r="A23" s="15">
        <f t="shared" si="2"/>
        <v>20</v>
      </c>
      <c r="B23" s="15"/>
      <c r="C23" s="15"/>
      <c r="D23" s="15"/>
      <c r="E23" s="15"/>
      <c r="F23" s="15"/>
      <c r="G23" s="15"/>
      <c r="H23" s="15"/>
      <c r="I23" s="15">
        <f t="shared" si="3"/>
        <v>0</v>
      </c>
      <c r="J23" s="15" t="str">
        <f t="shared" si="4"/>
        <v/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</row>
    <row r="24" spans="1:66" ht="12.5" x14ac:dyDescent="0.25">
      <c r="A24" s="15">
        <f t="shared" si="2"/>
        <v>21</v>
      </c>
      <c r="B24" s="15"/>
      <c r="C24" s="15"/>
      <c r="D24" s="15"/>
      <c r="E24" s="15"/>
      <c r="F24" s="17"/>
      <c r="G24" s="17"/>
      <c r="H24" s="15"/>
      <c r="I24" s="15">
        <f t="shared" si="3"/>
        <v>0</v>
      </c>
      <c r="J24" s="15" t="str">
        <f t="shared" si="4"/>
        <v/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6"/>
  <sheetViews>
    <sheetView workbookViewId="0">
      <selection activeCell="B14" sqref="B14"/>
    </sheetView>
  </sheetViews>
  <sheetFormatPr defaultColWidth="12.6328125" defaultRowHeight="15.75" customHeight="1" x14ac:dyDescent="0.25"/>
  <sheetData>
    <row r="1" spans="1:8" ht="15.75" customHeight="1" x14ac:dyDescent="0.25">
      <c r="A1" s="20" t="s">
        <v>1</v>
      </c>
      <c r="B1" s="20" t="s">
        <v>2</v>
      </c>
      <c r="C1" s="20" t="s">
        <v>4</v>
      </c>
      <c r="D1" s="20" t="s">
        <v>25</v>
      </c>
      <c r="E1" s="20" t="s">
        <v>26</v>
      </c>
      <c r="F1" s="20" t="s">
        <v>27</v>
      </c>
      <c r="G1" s="20" t="s">
        <v>28</v>
      </c>
      <c r="H1" s="20" t="s">
        <v>29</v>
      </c>
    </row>
    <row r="2" spans="1:8" ht="15.75" customHeight="1" x14ac:dyDescent="0.25">
      <c r="A2" s="21" t="s">
        <v>30</v>
      </c>
      <c r="B2" s="21" t="s">
        <v>31</v>
      </c>
      <c r="C2" s="15"/>
      <c r="D2" s="15"/>
      <c r="E2" s="15"/>
      <c r="F2" s="15"/>
      <c r="G2" s="15"/>
      <c r="H2" s="15"/>
    </row>
    <row r="3" spans="1:8" ht="15.75" customHeight="1" x14ac:dyDescent="0.25">
      <c r="A3" s="15"/>
      <c r="B3" s="21" t="s">
        <v>32</v>
      </c>
      <c r="C3" s="15"/>
      <c r="D3" s="15"/>
      <c r="E3" s="15"/>
      <c r="F3" s="15"/>
      <c r="G3" s="15"/>
      <c r="H3" s="15"/>
    </row>
    <row r="4" spans="1:8" ht="15.75" customHeight="1" x14ac:dyDescent="0.25">
      <c r="A4" s="15"/>
      <c r="B4" s="21" t="s">
        <v>33</v>
      </c>
      <c r="C4" s="15"/>
      <c r="D4" s="15"/>
      <c r="E4" s="15"/>
      <c r="F4" s="15"/>
      <c r="G4" s="15"/>
      <c r="H4" s="15"/>
    </row>
    <row r="5" spans="1:8" ht="15.75" customHeight="1" x14ac:dyDescent="0.25">
      <c r="A5" s="15"/>
      <c r="B5" s="21" t="s">
        <v>34</v>
      </c>
      <c r="C5" s="15"/>
      <c r="D5" s="15"/>
      <c r="E5" s="15"/>
      <c r="F5" s="15"/>
      <c r="G5" s="15"/>
      <c r="H5" s="15"/>
    </row>
    <row r="6" spans="1:8" ht="15.75" customHeight="1" x14ac:dyDescent="0.25">
      <c r="A6" s="15"/>
      <c r="B6" s="21" t="s">
        <v>35</v>
      </c>
      <c r="C6" s="15"/>
      <c r="D6" s="15"/>
      <c r="E6" s="15"/>
      <c r="F6" s="15"/>
      <c r="G6" s="15"/>
      <c r="H6" s="15"/>
    </row>
    <row r="7" spans="1:8" ht="15.75" customHeight="1" x14ac:dyDescent="0.25">
      <c r="A7" s="15"/>
      <c r="B7" s="21" t="s">
        <v>36</v>
      </c>
      <c r="C7" s="15"/>
      <c r="D7" s="15"/>
      <c r="E7" s="15"/>
      <c r="F7" s="15"/>
      <c r="G7" s="15"/>
      <c r="H7" s="15"/>
    </row>
    <row r="8" spans="1:8" ht="15.75" customHeight="1" x14ac:dyDescent="0.25">
      <c r="A8" s="15"/>
      <c r="B8" s="22" t="s">
        <v>37</v>
      </c>
      <c r="C8" s="15"/>
      <c r="D8" s="15"/>
      <c r="E8" s="15"/>
      <c r="F8" s="15"/>
      <c r="G8" s="15"/>
      <c r="H8" s="15"/>
    </row>
    <row r="9" spans="1:8" ht="15.75" customHeight="1" x14ac:dyDescent="0.25">
      <c r="A9" s="15"/>
      <c r="B9" s="22" t="s">
        <v>38</v>
      </c>
      <c r="C9" s="15"/>
      <c r="D9" s="15"/>
      <c r="E9" s="15"/>
      <c r="F9" s="15"/>
      <c r="G9" s="15"/>
      <c r="H9" s="15"/>
    </row>
    <row r="10" spans="1:8" ht="15.75" customHeight="1" x14ac:dyDescent="0.25">
      <c r="A10" s="15"/>
      <c r="B10" s="22" t="s">
        <v>39</v>
      </c>
      <c r="C10" s="15"/>
      <c r="D10" s="15"/>
      <c r="E10" s="15"/>
      <c r="F10" s="15"/>
      <c r="G10" s="15"/>
      <c r="H10" s="15"/>
    </row>
    <row r="11" spans="1:8" ht="15.75" customHeight="1" x14ac:dyDescent="0.25">
      <c r="A11" s="15"/>
      <c r="B11" s="21" t="s">
        <v>40</v>
      </c>
      <c r="C11" s="15"/>
      <c r="D11" s="15"/>
      <c r="E11" s="15"/>
      <c r="F11" s="15"/>
      <c r="G11" s="15"/>
      <c r="H11" s="15"/>
    </row>
    <row r="12" spans="1:8" ht="15.75" customHeight="1" x14ac:dyDescent="0.25">
      <c r="A12" s="15"/>
      <c r="B12" s="21" t="s">
        <v>41</v>
      </c>
      <c r="C12" s="15"/>
      <c r="D12" s="15"/>
      <c r="E12" s="15"/>
      <c r="F12" s="15"/>
      <c r="G12" s="15"/>
      <c r="H12" s="15"/>
    </row>
    <row r="13" spans="1:8" ht="15.75" customHeight="1" x14ac:dyDescent="0.25">
      <c r="A13" s="15"/>
      <c r="B13" s="21" t="s">
        <v>42</v>
      </c>
      <c r="C13" s="15"/>
      <c r="D13" s="15"/>
      <c r="E13" s="15"/>
      <c r="F13" s="15"/>
      <c r="G13" s="15"/>
      <c r="H13" s="15"/>
    </row>
    <row r="14" spans="1:8" ht="15.75" customHeight="1" x14ac:dyDescent="0.25">
      <c r="A14" s="15"/>
      <c r="B14" s="15"/>
      <c r="C14" s="15"/>
      <c r="D14" s="15"/>
      <c r="E14" s="15"/>
      <c r="F14" s="15"/>
      <c r="G14" s="15"/>
      <c r="H14" s="15"/>
    </row>
    <row r="15" spans="1:8" ht="15.75" customHeight="1" x14ac:dyDescent="0.25">
      <c r="A15" s="15"/>
      <c r="B15" s="15"/>
      <c r="C15" s="15"/>
      <c r="D15" s="15"/>
      <c r="E15" s="15"/>
      <c r="F15" s="15"/>
      <c r="G15" s="15"/>
      <c r="H15" s="15"/>
    </row>
    <row r="16" spans="1:8" ht="15.75" customHeight="1" x14ac:dyDescent="0.25">
      <c r="A16" s="15"/>
      <c r="B16" s="15"/>
      <c r="C16" s="15"/>
      <c r="D16" s="15"/>
      <c r="E16" s="15"/>
      <c r="F16" s="15"/>
      <c r="G16" s="15"/>
      <c r="H16" s="15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例ガントチャート</vt:lpstr>
      <vt:lpstr>見積変更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Taisei Yamamoto</cp:lastModifiedBy>
  <dcterms:modified xsi:type="dcterms:W3CDTF">2026-05-25T11:56:28Z</dcterms:modified>
</cp:coreProperties>
</file>